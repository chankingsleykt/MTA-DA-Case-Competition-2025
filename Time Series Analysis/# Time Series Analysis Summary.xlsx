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his_is_My_Document\School and Studying\Homework\University\2025 MTA DA Case\Time Series Analysis\"/>
    </mc:Choice>
  </mc:AlternateContent>
  <xr:revisionPtr revIDLastSave="0" documentId="13_ncr:1_{173C14A7-2ED2-41F6-96AD-6F21A3C7F9D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9" i="1"/>
  <c r="E16" i="1"/>
  <c r="E2" i="1"/>
  <c r="E10" i="1"/>
  <c r="E3" i="1"/>
  <c r="E4" i="1"/>
  <c r="E18" i="1"/>
  <c r="E20" i="1"/>
  <c r="E21" i="1"/>
  <c r="E8" i="1"/>
  <c r="E6" i="1"/>
  <c r="E17" i="1"/>
  <c r="E5" i="1"/>
  <c r="E7" i="1"/>
  <c r="E11" i="1"/>
  <c r="E9" i="1"/>
  <c r="E15" i="1"/>
</calcChain>
</file>

<file path=xl/sharedStrings.xml><?xml version="1.0" encoding="utf-8"?>
<sst xmlns="http://schemas.openxmlformats.org/spreadsheetml/2006/main" count="40" uniqueCount="29">
  <si>
    <t>Driver</t>
  </si>
  <si>
    <t>Predicted Value</t>
  </si>
  <si>
    <t>95%-CI Lower Bound</t>
  </si>
  <si>
    <t>95%-CI Upper Bound</t>
  </si>
  <si>
    <t>Entries in Data Frame</t>
  </si>
  <si>
    <t>Kimi Antonelli</t>
  </si>
  <si>
    <t>n/a</t>
  </si>
  <si>
    <t>Oliver Bearman</t>
  </si>
  <si>
    <t>Gabriel Bortoleto</t>
  </si>
  <si>
    <t>Isack Hadjar</t>
  </si>
  <si>
    <t>Lando Norris</t>
  </si>
  <si>
    <t>Comments</t>
  </si>
  <si>
    <t>negative predicted value = downward trend
positive predicted value = upward trend</t>
  </si>
  <si>
    <t>Max Verstappen</t>
  </si>
  <si>
    <t>Alexander Albon</t>
  </si>
  <si>
    <t>Oscar Piastri</t>
  </si>
  <si>
    <t>George Russell</t>
  </si>
  <si>
    <t>Lewis Hamiliton</t>
  </si>
  <si>
    <t>Charles Leclerc</t>
  </si>
  <si>
    <t>Yuki Tsunoda</t>
  </si>
  <si>
    <t>Nico Hulkenberg</t>
  </si>
  <si>
    <t>Lance Stroll</t>
  </si>
  <si>
    <t>Esteban Ocon</t>
  </si>
  <si>
    <t>Carlos Sainz</t>
  </si>
  <si>
    <t>Liam Lawson</t>
  </si>
  <si>
    <t>Fernando Alonso</t>
  </si>
  <si>
    <t>Pierre Gasly</t>
  </si>
  <si>
    <t>Franco Colapinto</t>
  </si>
  <si>
    <t>Difference of Upper and 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</si>
</sst>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70" fontId="0" fillId="0" borderId="0" xfId="0" applyNumberFormat="1" applyFont="1" applyAlignment="1">
      <alignment horizontal="left" vertical="center"/>
    </xf>
    <xf numFmtId="170" fontId="0" fillId="0" borderId="0" xfId="0" quotePrefix="1" applyNumberFormat="1" applyFont="1" applyAlignment="1">
      <alignment horizontal="left" vertical="center"/>
    </xf>
    <xf numFmtId="170" fontId="0" fillId="0" borderId="0" xfId="0" applyNumberFormat="1" applyAlignment="1">
      <alignment horizontal="left" vertical="center"/>
    </xf>
    <xf numFmtId="170" fontId="0" fillId="0" borderId="0" xfId="0" quotePrefix="1" applyNumberFormat="1" applyAlignment="1">
      <alignment horizontal="left" vertical="center"/>
    </xf>
    <xf numFmtId="170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2" sqref="D2"/>
    </sheetView>
  </sheetViews>
  <sheetFormatPr defaultRowHeight="15" x14ac:dyDescent="0.25"/>
  <cols>
    <col min="1" max="1" width="25.7109375" style="3" customWidth="1"/>
    <col min="2" max="5" width="25.7109375" style="9" customWidth="1"/>
    <col min="6" max="6" width="25.7109375" style="5" customWidth="1"/>
    <col min="7" max="7" width="25.7109375" style="3" customWidth="1"/>
    <col min="8" max="16384" width="9.140625" style="3"/>
  </cols>
  <sheetData>
    <row r="1" spans="1:7" ht="30" x14ac:dyDescent="0.25">
      <c r="A1" s="1" t="s">
        <v>0</v>
      </c>
      <c r="B1" s="7" t="s">
        <v>1</v>
      </c>
      <c r="C1" s="7" t="s">
        <v>2</v>
      </c>
      <c r="D1" s="7" t="s">
        <v>3</v>
      </c>
      <c r="E1" s="11" t="s">
        <v>28</v>
      </c>
      <c r="F1" s="4" t="s">
        <v>4</v>
      </c>
      <c r="G1" s="3" t="s">
        <v>11</v>
      </c>
    </row>
    <row r="2" spans="1:7" ht="60" x14ac:dyDescent="0.25">
      <c r="A2" s="1" t="s">
        <v>8</v>
      </c>
      <c r="B2" s="7" t="s">
        <v>6</v>
      </c>
      <c r="C2" s="7" t="s">
        <v>6</v>
      </c>
      <c r="D2" s="7" t="s">
        <v>6</v>
      </c>
      <c r="E2" s="9" t="e">
        <f>D2-C2</f>
        <v>#VALUE!</v>
      </c>
      <c r="F2" s="4">
        <v>1</v>
      </c>
      <c r="G2" s="6" t="s">
        <v>12</v>
      </c>
    </row>
    <row r="3" spans="1:7" x14ac:dyDescent="0.25">
      <c r="A3" s="1" t="s">
        <v>9</v>
      </c>
      <c r="B3" s="7" t="s">
        <v>6</v>
      </c>
      <c r="C3" s="7" t="s">
        <v>6</v>
      </c>
      <c r="D3" s="7" t="s">
        <v>6</v>
      </c>
      <c r="E3" s="9" t="e">
        <f>D3-C3</f>
        <v>#VALUE!</v>
      </c>
      <c r="F3" s="4">
        <v>1</v>
      </c>
    </row>
    <row r="4" spans="1:7" x14ac:dyDescent="0.25">
      <c r="A4" s="1" t="s">
        <v>5</v>
      </c>
      <c r="B4" s="7" t="s">
        <v>6</v>
      </c>
      <c r="C4" s="7" t="s">
        <v>6</v>
      </c>
      <c r="D4" s="7" t="s">
        <v>6</v>
      </c>
      <c r="E4" s="9" t="e">
        <f>D4-C4</f>
        <v>#VALUE!</v>
      </c>
      <c r="F4" s="4">
        <v>1</v>
      </c>
    </row>
    <row r="5" spans="1:7" x14ac:dyDescent="0.25">
      <c r="A5" s="1" t="s">
        <v>7</v>
      </c>
      <c r="B5" s="7" t="s">
        <v>6</v>
      </c>
      <c r="C5" s="7" t="s">
        <v>6</v>
      </c>
      <c r="D5" s="7" t="s">
        <v>6</v>
      </c>
      <c r="E5" s="9" t="e">
        <f>D5-C5</f>
        <v>#VALUE!</v>
      </c>
      <c r="F5" s="4">
        <v>1</v>
      </c>
    </row>
    <row r="6" spans="1:7" x14ac:dyDescent="0.25">
      <c r="A6" s="3" t="s">
        <v>13</v>
      </c>
      <c r="B6" s="9">
        <v>8360.0990000000002</v>
      </c>
      <c r="C6" s="9">
        <v>8347.473</v>
      </c>
      <c r="D6" s="9">
        <v>8371.99</v>
      </c>
      <c r="E6" s="9">
        <f>D6-C6</f>
        <v>24.516999999999825</v>
      </c>
      <c r="F6" s="5">
        <v>5</v>
      </c>
    </row>
    <row r="7" spans="1:7" x14ac:dyDescent="0.25">
      <c r="A7" s="3" t="s">
        <v>15</v>
      </c>
      <c r="B7" s="9">
        <v>1672.5050000000001</v>
      </c>
      <c r="C7" s="9">
        <v>1672.5050000000001</v>
      </c>
      <c r="D7" s="9">
        <v>1672.5060000000001</v>
      </c>
      <c r="E7" s="9">
        <f>D7-C7</f>
        <v>9.9999999997635314E-4</v>
      </c>
      <c r="F7" s="5">
        <v>2</v>
      </c>
    </row>
    <row r="8" spans="1:7" x14ac:dyDescent="0.25">
      <c r="A8" s="3" t="s">
        <v>24</v>
      </c>
      <c r="B8" s="9">
        <v>1155.925</v>
      </c>
      <c r="C8" s="9">
        <v>1145.645</v>
      </c>
      <c r="D8" s="9">
        <v>1166.8399999999999</v>
      </c>
      <c r="E8" s="9">
        <f>D8-C8</f>
        <v>21.194999999999936</v>
      </c>
      <c r="F8" s="5">
        <v>22</v>
      </c>
    </row>
    <row r="9" spans="1:7" x14ac:dyDescent="0.25">
      <c r="A9" s="3" t="s">
        <v>19</v>
      </c>
      <c r="B9" s="9">
        <v>1001.37</v>
      </c>
      <c r="C9" s="9">
        <v>976.08569999999997</v>
      </c>
      <c r="D9" s="9">
        <v>1025.623</v>
      </c>
      <c r="E9" s="9">
        <f>D9-C9</f>
        <v>49.537300000000073</v>
      </c>
      <c r="F9" s="5">
        <v>19</v>
      </c>
    </row>
    <row r="10" spans="1:7" x14ac:dyDescent="0.25">
      <c r="A10" s="3" t="s">
        <v>16</v>
      </c>
      <c r="B10" s="9">
        <v>348.02319999999997</v>
      </c>
      <c r="C10" s="9">
        <v>348.02319999999997</v>
      </c>
      <c r="D10" s="9">
        <v>348.02319999999997</v>
      </c>
      <c r="E10" s="9">
        <f>D10-C10</f>
        <v>0</v>
      </c>
      <c r="F10" s="5">
        <v>5</v>
      </c>
    </row>
    <row r="11" spans="1:7" x14ac:dyDescent="0.25">
      <c r="A11" s="3" t="s">
        <v>26</v>
      </c>
      <c r="B11" s="9">
        <v>228.82509999999999</v>
      </c>
      <c r="C11" s="9">
        <v>228.12200000000001</v>
      </c>
      <c r="D11" s="9">
        <v>229.72229999999999</v>
      </c>
      <c r="E11" s="9">
        <f>D11-C11</f>
        <v>1.6002999999999759</v>
      </c>
      <c r="F11" s="5">
        <v>4</v>
      </c>
    </row>
    <row r="12" spans="1:7" x14ac:dyDescent="0.25">
      <c r="A12" s="3" t="s">
        <v>22</v>
      </c>
      <c r="B12" s="9">
        <v>109.9481</v>
      </c>
      <c r="C12" s="9">
        <v>109.9481</v>
      </c>
      <c r="D12" s="9">
        <v>109.9481</v>
      </c>
      <c r="E12" s="9">
        <f>D12-C12</f>
        <v>0</v>
      </c>
      <c r="F12" s="5">
        <v>6</v>
      </c>
    </row>
    <row r="13" spans="1:7" x14ac:dyDescent="0.25">
      <c r="A13" s="3" t="s">
        <v>18</v>
      </c>
      <c r="B13" s="9">
        <v>18.440110000000001</v>
      </c>
      <c r="C13" s="10">
        <v>-4.8496790000000001</v>
      </c>
      <c r="D13" s="9">
        <v>39.131839999999997</v>
      </c>
      <c r="E13" s="9">
        <f>D13-C13</f>
        <v>43.981518999999999</v>
      </c>
      <c r="F13" s="5">
        <v>116</v>
      </c>
    </row>
    <row r="14" spans="1:7" x14ac:dyDescent="0.25">
      <c r="A14" s="3" t="s">
        <v>23</v>
      </c>
      <c r="B14" s="9">
        <v>6.3154019999999997</v>
      </c>
      <c r="C14" s="9">
        <v>-15.162509999999999</v>
      </c>
      <c r="D14" s="9">
        <v>27.9849</v>
      </c>
      <c r="E14" s="9">
        <f>D14-C14</f>
        <v>43.147410000000001</v>
      </c>
      <c r="F14" s="5">
        <v>116</v>
      </c>
    </row>
    <row r="15" spans="1:7" x14ac:dyDescent="0.25">
      <c r="A15" s="3" t="s">
        <v>14</v>
      </c>
      <c r="B15" s="9">
        <v>3.452032</v>
      </c>
      <c r="C15" s="9">
        <v>-11.553240000000001</v>
      </c>
      <c r="D15" s="9">
        <v>18.811019999999999</v>
      </c>
      <c r="E15" s="9">
        <f>D15-C15</f>
        <v>30.364260000000002</v>
      </c>
      <c r="F15" s="5">
        <v>93</v>
      </c>
    </row>
    <row r="16" spans="1:7" x14ac:dyDescent="0.25">
      <c r="A16" s="3" t="s">
        <v>27</v>
      </c>
      <c r="B16" s="9">
        <v>-12.4785</v>
      </c>
      <c r="C16" s="9">
        <v>-12.4785</v>
      </c>
      <c r="D16" s="9">
        <v>-12.4785</v>
      </c>
      <c r="E16" s="9">
        <f>D16-C16</f>
        <v>0</v>
      </c>
      <c r="F16" s="5">
        <v>2</v>
      </c>
    </row>
    <row r="17" spans="1:6" x14ac:dyDescent="0.25">
      <c r="A17" s="3" t="s">
        <v>20</v>
      </c>
      <c r="B17" s="9">
        <v>-13.67033</v>
      </c>
      <c r="C17" s="9">
        <v>-13.67033</v>
      </c>
      <c r="D17" s="9">
        <v>-13.67033</v>
      </c>
      <c r="E17" s="9">
        <f>D17-C17</f>
        <v>0</v>
      </c>
      <c r="F17" s="5">
        <v>2</v>
      </c>
    </row>
    <row r="18" spans="1:6" x14ac:dyDescent="0.25">
      <c r="A18" s="3" t="s">
        <v>21</v>
      </c>
      <c r="B18" s="9">
        <v>-833.32159999999999</v>
      </c>
      <c r="C18" s="9">
        <v>-833.32159999999999</v>
      </c>
      <c r="D18" s="9">
        <v>-833.32159999999999</v>
      </c>
      <c r="E18" s="9">
        <f>D18-C18</f>
        <v>0</v>
      </c>
      <c r="F18" s="5">
        <v>4</v>
      </c>
    </row>
    <row r="19" spans="1:6" x14ac:dyDescent="0.25">
      <c r="A19" s="3" t="s">
        <v>25</v>
      </c>
      <c r="B19" s="9">
        <v>-1137.2149999999999</v>
      </c>
      <c r="C19" s="9">
        <v>-1137.2149999999999</v>
      </c>
      <c r="D19" s="9">
        <v>-1137.2149999999999</v>
      </c>
      <c r="E19" s="9">
        <f>D19-C19</f>
        <v>0</v>
      </c>
      <c r="F19" s="5">
        <v>4</v>
      </c>
    </row>
    <row r="20" spans="1:6" x14ac:dyDescent="0.25">
      <c r="A20" s="2" t="s">
        <v>10</v>
      </c>
      <c r="B20" s="8">
        <v>-12392.98</v>
      </c>
      <c r="C20" s="8">
        <v>-12408.71</v>
      </c>
      <c r="D20" s="7">
        <v>-12376.73</v>
      </c>
      <c r="E20" s="9">
        <f>D20-C20</f>
        <v>31.979999999999563</v>
      </c>
      <c r="F20" s="4">
        <v>4</v>
      </c>
    </row>
    <row r="21" spans="1:6" x14ac:dyDescent="0.25">
      <c r="A21" s="3" t="s">
        <v>17</v>
      </c>
      <c r="B21" s="9">
        <v>-23211.06</v>
      </c>
      <c r="C21" s="9">
        <v>-23211.06</v>
      </c>
      <c r="D21" s="9">
        <v>-23211.06</v>
      </c>
      <c r="E21" s="9">
        <f>D21-C21</f>
        <v>0</v>
      </c>
      <c r="F21" s="5">
        <v>4</v>
      </c>
    </row>
  </sheetData>
  <sortState xmlns:xlrd2="http://schemas.microsoft.com/office/spreadsheetml/2017/richdata2" ref="A2:G21">
    <sortCondition descending="1" ref="B7:B21"/>
  </sortState>
  <conditionalFormatting sqref="E2:E21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H_Deng</dc:creator>
  <cp:lastModifiedBy>Haowen Deng</cp:lastModifiedBy>
  <dcterms:created xsi:type="dcterms:W3CDTF">2015-06-05T18:17:20Z</dcterms:created>
  <dcterms:modified xsi:type="dcterms:W3CDTF">2025-11-21T12:36:57Z</dcterms:modified>
</cp:coreProperties>
</file>